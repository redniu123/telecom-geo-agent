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4a3a61ce0c43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b1395825c00b48cb"/>
    <x:sheet xmlns:r="http://schemas.openxmlformats.org/officeDocument/2006/relationships" name="ManualRaw" sheetId="2" r:id="R901a31c737544708"/>
    <x:sheet xmlns:r="http://schemas.openxmlformats.org/officeDocument/2006/relationships" name="SystemRuns" sheetId="3" r:id="R8c688325cadc46ee"/>
    <x:sheet xmlns:r="http://schemas.openxmlformats.org/officeDocument/2006/relationships" name="Metrics" sheetId="4" r:id="R5ad6d7cf60a445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:ss"/>
    <x:numFmt numFmtId="201" formatCode="0.000"/>
    <x:numFmt numFmtId="202" formatCode="0.000000"/>
    <x:numFmt numFmtId="203" formatCode="0.0%"/>
  </x:numFmts>
  <x:fonts count="9">
    <x:font>
      <x:sz val="11"/>
      <x:name val="Carlito"/>
    </x:font>
    <x:font>
      <x:b/>
      <x:sz val="18"/>
      <x:color rgb="FFFFFFFF"/>
      <x:name val="Microsoft YaHei"/>
    </x:font>
    <x:font>
      <x:b/>
      <x:sz val="11"/>
      <x:color rgb="FF12324A"/>
      <x:name val="Carlito"/>
    </x:font>
    <x:font>
      <x:b/>
      <x:sz val="11"/>
      <x:color rgb="FF9C6500"/>
      <x:name val="Carlito"/>
    </x:font>
    <x:font>
      <x:b/>
      <x:sz val="11"/>
      <x:color rgb="FFFFFFFF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0"/>
      <x:color rgb="FF12324A"/>
      <x:name val="Microsoft YaHei"/>
    </x:font>
    <x:font>
      <x:b/>
      <x:sz val="10"/>
      <x:color rgb="FF9C6500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DCEAF3"/>
      </x:patternFill>
    </x:fill>
    <x:fill>
      <x:patternFill patternType="solid">
        <x:fgColor rgb="FFFFF2CC"/>
      </x:patternFill>
    </x:fill>
    <x:fill>
      <x:patternFill patternType="solid">
        <x:fgColor rgb="FF1E637A"/>
      </x:patternFill>
    </x:fill>
  </x:fills>
  <x:borders count="3">
    <x:border/>
    <x:border>
      <x:left style="thin">
        <x:color rgb="FFB8C8D3"/>
      </x:left>
      <x:right style="thin">
        <x:color rgb="FFB8C8D3"/>
      </x:right>
      <x:top style="thin">
        <x:color rgb="FFB8C8D3"/>
      </x:top>
      <x:bottom style="thin">
        <x:color rgb="FFB8C8D3"/>
      </x:bottom>
    </x:border>
    <x:border>
      <x:left style="thin">
        <x:color rgb="FFD6DEE5"/>
      </x:left>
      <x:right style="thin">
        <x:color rgb="FFD6DEE5"/>
      </x:right>
      <x:top style="thin">
        <x:color rgb="FFD6DEE5"/>
      </x:top>
      <x:bottom style="thin">
        <x:color rgb="FFD6DEE5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3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6" fillId="0" borderId="2" xfId="0" applyNumberFormat="1" applyFont="1" applyFill="1" applyBorder="1"/>
    <x:xf numFmtId="200" fontId="6" fillId="0" borderId="2" xfId="0" applyNumberFormat="1" applyFont="1" applyFill="1" applyBorder="1"/>
    <x:xf numFmtId="201" fontId="6" fillId="0" borderId="2" xfId="0" applyNumberFormat="1" applyFont="1" applyFill="1" applyBorder="1"/>
    <x:xf numFmtId="202" fontId="0" fillId="0" borderId="2" xfId="0" applyNumberFormat="1" applyFont="1" applyFill="1" applyBorder="1"/>
    <x:xf numFmtId="202" fontId="6" fillId="0" borderId="2" xfId="0" applyNumberFormat="1" applyFont="1" applyFill="1" applyBorder="1"/>
    <x:xf numFmtId="203" fontId="0" fillId="0" borderId="2" xfId="0" applyNumberFormat="1" applyFont="1" applyFill="1" applyBorder="1"/>
    <x:xf numFmtId="203" fontId="6" fillId="0" borderId="2" xfId="0" applyNumberFormat="1" applyFont="1" applyFill="1" applyBorder="1"/>
  </x:cellXfs>
  <x:cellStyles count="1">
    <x:cellStyle name="Normal" xfId="0"/>
  </x:cellStyles>
  <x:dxfs count="2"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27632A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96dde9385048d4" /><Relationship Type="http://schemas.openxmlformats.org/officeDocument/2006/relationships/theme" Target="/xl/theme/theme1.xml" Id="R59567dcf440248d0" /><Relationship Type="http://schemas.openxmlformats.org/officeDocument/2006/relationships/sharedStrings" Target="/xl/sharedStrings.xml" Id="R80d76c9dc485419d" /><Relationship Type="http://schemas.openxmlformats.org/officeDocument/2006/relationships/worksheet" Target="/xl/worksheets/sheet1.xml" Id="Rb1395825c00b48cb" /><Relationship Type="http://schemas.openxmlformats.org/officeDocument/2006/relationships/worksheet" Target="/xl/worksheets/sheet2.xml" Id="R901a31c737544708" /><Relationship Type="http://schemas.openxmlformats.org/officeDocument/2006/relationships/worksheet" Target="/xl/worksheets/sheet3.xml" Id="R8c688325cadc46ee" /><Relationship Type="http://schemas.openxmlformats.org/officeDocument/2006/relationships/worksheet" Target="/xl/worksheets/sheet4.xml" Id="R5ad6d7cf60a445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2" max="2" width="48" hidden="0" customWidth="1"/>
    <x:col min="3" max="3" width="35" hidden="0" customWidth="1"/>
    <x:col min="5" max="5" width="28" hidden="0" customWidth="1"/>
    <x:col min="7" max="7" width="38" hidden="0" customWidth="1"/>
  </x:cols>
  <x:sheetData>
    <x:row r="1" ht="28" customHeight="1">
      <x:c r="A1" s="15" t="str">
        <x:v>通信线路智能设计竞赛 · 对比实验采集与计算模板</x:v>
      </x:c>
      <x:c r="B1" s="15"/>
      <x:c r="C1" s="15"/>
      <x:c r="D1" s="15"/>
      <x:c r="E1" s="15"/>
      <x:c r="F1" s="15"/>
      <x:c r="G1" s="15"/>
      <x:c r="H1" s="15"/>
      <x:c r="I1" s="16"/>
    </x:row>
    <x:row r="2" ht="28" customHeight="1">
      <x:c r="A2" s="15"/>
      <x:c r="B2" s="15"/>
      <x:c r="C2" s="15"/>
      <x:c r="D2" s="15"/>
      <x:c r="E2" s="15"/>
      <x:c r="F2" s="15"/>
      <x:c r="G2" s="15"/>
      <x:c r="H2" s="15"/>
      <x:c r="I2" s="16"/>
    </x:row>
    <x:row r="3" ht="28" customHeight="1">
      <x:c r="A3" s="16"/>
      <x:c r="B3" s="16"/>
      <x:c r="C3" s="16"/>
      <x:c r="D3" s="16"/>
      <x:c r="E3" s="16"/>
      <x:c r="F3" s="16"/>
      <x:c r="G3" s="16"/>
      <x:c r="H3" s="16"/>
      <x:c r="I3" s="16"/>
    </x:row>
    <x:row r="4" ht="28" customHeight="1">
      <x:c r="A4" s="17" t="str">
        <x:v>当前状态</x:v>
      </x:c>
      <x:c r="B4" s="18" t="str">
        <x:v>待人工基线</x:v>
      </x:c>
      <x:c r="C4" s="16"/>
      <x:c r="D4" s="16"/>
      <x:c r="E4" s="16"/>
      <x:c r="F4" s="16"/>
      <x:c r="G4" s="16"/>
      <x:c r="H4" s="16"/>
      <x:c r="I4" s="16"/>
    </x:row>
    <x:row r="5" ht="28" customHeight="1">
      <x:c r="A5" s="17" t="str">
        <x:v>赛题门槛</x:v>
      </x:c>
      <x:c r="B5" s="19" t="str">
        <x:v>效率提升 &gt;=30%，或手工绘图操作减少 &gt;50%</x:v>
      </x:c>
      <x:c r="C5" s="16"/>
      <x:c r="D5" s="16"/>
      <x:c r="E5" s="16"/>
      <x:c r="F5" s="16"/>
      <x:c r="G5" s="16"/>
      <x:c r="H5" s="16"/>
      <x:c r="I5" s="16"/>
    </x:row>
    <x:row r="6" ht="28" customHeight="1">
      <x:c r="A6" s="17" t="str">
        <x:v>系统数据</x:v>
      </x:c>
      <x:c r="B6" s="19" t="str">
        <x:v>由脚本真实运行三场景，每场景 3 次</x:v>
      </x:c>
      <x:c r="C6" s="16"/>
      <x:c r="D6" s="16"/>
      <x:c r="E6" s="16"/>
      <x:c r="F6" s="16"/>
      <x:c r="G6" s="16"/>
      <x:c r="H6" s="16"/>
      <x:c r="I6" s="16"/>
    </x:row>
    <x:row r="7" ht="28" customHeight="1">
      <x:c r="A7" s="17" t="str">
        <x:v>人工数据</x:v>
      </x:c>
      <x:c r="B7" s="19" t="str">
        <x:v>空白；由 Quimer 在同机、同任务说明下实测填写</x:v>
      </x:c>
      <x:c r="C7" s="16"/>
      <x:c r="D7" s="16"/>
      <x:c r="E7" s="16"/>
      <x:c r="F7" s="16"/>
      <x:c r="G7" s="16"/>
      <x:c r="H7" s="16"/>
      <x:c r="I7" s="16"/>
    </x:row>
    <x:row r="8" ht="28" customHeight="1">
      <x:c r="A8" s="17" t="str">
        <x:v>证据要求</x:v>
      </x:c>
      <x:c r="B8" s="19" t="str">
        <x:v>人工行必须填写录屏/日志路径 evidence_ref 才可采信</x:v>
      </x:c>
      <x:c r="C8" s="16"/>
      <x:c r="D8" s="16"/>
      <x:c r="E8" s="16"/>
      <x:c r="F8" s="16"/>
      <x:c r="G8" s="16"/>
      <x:c r="H8" s="16"/>
      <x:c r="I8" s="16"/>
    </x:row>
    <x:row r="9" ht="28" customHeight="1">
      <x:c r="A9" s="17" t="str">
        <x:v>时间口径</x:v>
      </x:c>
      <x:c r="B9" s="19" t="str">
        <x:v>从收到冻结参数到得到可核对结果的秒数</x:v>
      </x:c>
      <x:c r="C9" s="16"/>
      <x:c r="D9" s="16"/>
      <x:c r="E9" s="16"/>
      <x:c r="F9" s="16"/>
      <x:c r="G9" s="16"/>
      <x:c r="H9" s="16"/>
      <x:c r="I9" s="16"/>
    </x:row>
    <x:row r="10" ht="28" customHeight="1">
      <x:c r="A10" s="17" t="str">
        <x:v>操作口径</x:v>
      </x:c>
      <x:c r="B10" s="19" t="str">
        <x:v>可观察的鼠标和键盘操作，不填理论按钮数</x:v>
      </x:c>
      <x:c r="C10" s="16"/>
      <x:c r="D10" s="16"/>
      <x:c r="E10" s="16"/>
      <x:c r="F10" s="16"/>
      <x:c r="G10" s="16"/>
      <x:c r="H10" s="16"/>
      <x:c r="I10" s="16"/>
    </x:row>
    <x:row r="11" ht="28" customHeight="1">
      <x:c r="A11" s="17" t="str">
        <x:v>数据边界</x:v>
      </x:c>
      <x:c r="B11" s="19" t="str">
        <x:v>公开 OSM 背景 + 派生候选几何 + 合成通信属性</x:v>
      </x:c>
      <x:c r="C11" s="16"/>
      <x:c r="D11" s="16"/>
      <x:c r="E11" s="16"/>
      <x:c r="F11" s="16"/>
      <x:c r="G11" s="16"/>
      <x:c r="H11" s="16"/>
      <x:c r="I11" s="16"/>
    </x:row>
    <x:row r="12" ht="28" customHeight="1">
      <x:c r="A12" s="17" t="str">
        <x:v>成果声明</x:v>
      </x:c>
      <x:c r="B12" s="19" t="str">
        <x:v>竞赛样例 / 非正式施工图</x:v>
      </x:c>
      <x:c r="C12" s="16"/>
      <x:c r="D12" s="16"/>
      <x:c r="E12" s="16"/>
      <x:c r="F12" s="16"/>
      <x:c r="G12" s="16"/>
      <x:c r="H12" s="16"/>
      <x:c r="I12" s="16"/>
    </x:row>
    <x:row r="13" ht="28" customHeight="1">
      <x:c r="A13" s="16"/>
      <x:c r="B13" s="16"/>
      <x:c r="C13" s="16"/>
      <x:c r="D13" s="16"/>
      <x:c r="E13" s="16"/>
      <x:c r="F13" s="16"/>
      <x:c r="G13" s="16"/>
      <x:c r="H13" s="16"/>
      <x:c r="I13" s="16"/>
    </x:row>
    <x:row r="14" ht="28" customHeight="1">
      <x:c r="A14" s="20" t="str">
        <x:v>执行顺序</x:v>
      </x:c>
      <x:c r="B14" s="20" t="str">
        <x:v>1</x:v>
      </x:c>
      <x:c r="C14" s="20" t="str">
        <x:v>运行系统基准</x:v>
      </x:c>
      <x:c r="D14" s="20" t="str">
        <x:v>2</x:v>
      </x:c>
      <x:c r="E14" s="20" t="str">
        <x:v>填写人工原始数据</x:v>
      </x:c>
      <x:c r="F14" s="20" t="str">
        <x:v>3</x:v>
      </x:c>
      <x:c r="G14" s="20" t="str">
        <x:v>复核证据</x:v>
      </x:c>
      <x:c r="H14" s="20" t="str">
        <x:v>4</x:v>
      </x:c>
      <x:c r="I14" s="20" t="str">
        <x:v>读取指标计算</x:v>
      </x:c>
    </x:row>
    <x:row r="15" ht="28" customHeight="1">
      <x:c r="A15" s="21" t="str">
        <x:v>命令</x:v>
      </x:c>
      <x:c r="B15" s="21" t="str"/>
      <x:c r="C15" s="21" t="str">
        <x:v>python scripts/run_competition_benchmark.py --iterations 3</x:v>
      </x:c>
      <x:c r="D15" s="21" t="str"/>
      <x:c r="E15" s="21" t="str"/>
      <x:c r="F15" s="21" t="str"/>
      <x:c r="G15" s="21" t="str">
        <x:v>python scripts/calculate_competition_metrics.py</x:v>
      </x:c>
      <x:c r="H15" s="21" t="str"/>
      <x:c r="I15" s="21" t="str"/>
    </x:row>
    <x:row r="16" ht="28" customHeight="1">
      <x:c r="A16" s="21" t="str">
        <x:v>注意</x:v>
      </x:c>
      <x:c r="B16" s="21" t="str"/>
      <x:c r="C16" s="21" t="str">
        <x:v>系统毫秒数不是人工效率提升证据</x:v>
      </x:c>
      <x:c r="D16" s="21" t="str"/>
      <x:c r="E16" s="21" t="str">
        <x:v>留空优于估算</x:v>
      </x:c>
      <x:c r="F16" s="21" t="str"/>
      <x:c r="G16" s="21" t="str">
        <x:v>门槛列为空时不得作达标宣传</x:v>
      </x:c>
      <x:c r="H16" s="21" t="str"/>
      <x:c r="I16" s="21" t="str"/>
    </x:row>
    <x:row r="17" ht="28" customHeight="1">
      <x:c r="A17" s="21" t="str">
        <x:v>来源</x:v>
      </x:c>
      <x:c r="B17" s="21" t="str"/>
      <x:c r="C17" s="21" t="str">
        <x:v>outputs/competition/benchmark/system_runs.csv</x:v>
      </x:c>
      <x:c r="D17" s="21" t="str"/>
      <x:c r="E17" s="21" t="str">
        <x:v>competition/benchmark/manual_baseline_template.csv</x:v>
      </x:c>
      <x:c r="F17" s="21" t="str"/>
      <x:c r="G17" s="21" t="str">
        <x:v>outputs/competition/benchmark/metric_report.json</x:v>
      </x:c>
      <x:c r="H17" s="21" t="str"/>
      <x:c r="I17" s="21" t="str"/>
    </x:row>
    <x:row r="18" ht="28" customHeight="1"/>
    <x:row r="19" ht="28" customHeight="1"/>
    <x:row r="20" ht="28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2" hidden="0" customWidth="1"/>
    <x:col min="12" max="12" width="32" hidden="0" customWidth="1"/>
  </x:cols>
  <x:sheetData>
    <x:row r="1">
      <x:c r="A1" s="26" t="str">
        <x:v>run_id</x:v>
      </x:c>
      <x:c r="B1" s="26" t="str">
        <x:v>scenario_id</x:v>
      </x:c>
      <x:c r="C1" s="26" t="str">
        <x:v>operator_id</x:v>
      </x:c>
      <x:c r="D1" s="26" t="str">
        <x:v>environment</x:v>
      </x:c>
      <x:c r="E1" s="26" t="str">
        <x:v>started_at</x:v>
      </x:c>
      <x:c r="F1" s="26" t="str">
        <x:v>ended_at</x:v>
      </x:c>
      <x:c r="G1" s="26" t="str">
        <x:v>elapsed_seconds</x:v>
      </x:c>
      <x:c r="H1" s="26" t="str">
        <x:v>manual_operations</x:v>
      </x:c>
      <x:c r="I1" s="26" t="str">
        <x:v>system_observed_operations</x:v>
      </x:c>
      <x:c r="J1" s="26" t="str">
        <x:v>status</x:v>
      </x:c>
      <x:c r="K1" s="26" t="str">
        <x:v>evidence_ref</x:v>
      </x:c>
      <x:c r="L1" s="26" t="str">
        <x:v>notes</x:v>
      </x:c>
    </x:row>
    <x:row r="2">
      <x:c r="A2" s="27" t="str">
        <x:v>MAN-capacity-01</x:v>
      </x:c>
      <x:c r="B2" s="27" t="str">
        <x:v>capacity_reroute</x:v>
      </x:c>
      <x:c r="C2" s="27" t="str"/>
      <x:c r="D2" s="27" t="str"/>
      <x:c r="E2" s="28"/>
      <x:c r="F2" s="28"/>
      <x:c r="G2" s="29" t="str">
        <x:f>IF(OR(E2="",F2=""),"",(F2-E2)*86400)</x:f>
      </x:c>
      <x:c r="H2" s="29"/>
      <x:c r="I2" s="29"/>
      <x:c r="J2" s="27" t="str">
        <x:v>pending</x:v>
      </x:c>
      <x:c r="K2" s="27" t="str"/>
      <x:c r="L2" s="27" t="str">
        <x:v>由 Quimer 实测填写；不可估算</x:v>
      </x:c>
    </x:row>
    <x:row r="3">
      <x:c r="A3" s="27" t="str">
        <x:v>MAN-forbidden-01</x:v>
      </x:c>
      <x:c r="B3" s="27" t="str">
        <x:v>forbidden_reroute</x:v>
      </x:c>
      <x:c r="C3" s="27" t="str"/>
      <x:c r="D3" s="27" t="str"/>
      <x:c r="E3" s="28"/>
      <x:c r="F3" s="28"/>
      <x:c r="G3" s="29" t="str">
        <x:f>IF(OR(E3="",F3=""),"",(F3-E3)*86400)</x:f>
      </x:c>
      <x:c r="H3" s="29"/>
      <x:c r="I3" s="29"/>
      <x:c r="J3" s="27" t="str">
        <x:v>pending</x:v>
      </x:c>
      <x:c r="K3" s="27" t="str"/>
      <x:c r="L3" s="27" t="str">
        <x:v>由 Quimer 实测填写；不可估算</x:v>
      </x:c>
    </x:row>
    <x:row r="4">
      <x:c r="A4" s="27" t="str">
        <x:v>MAN-no-path-01</x:v>
      </x:c>
      <x:c r="B4" s="27" t="str">
        <x:v>no_path</x:v>
      </x:c>
      <x:c r="C4" s="27" t="str"/>
      <x:c r="D4" s="27" t="str"/>
      <x:c r="E4" s="28"/>
      <x:c r="F4" s="28"/>
      <x:c r="G4" s="29" t="str">
        <x:f>IF(OR(E4="",F4=""),"",(F4-E4)*86400)</x:f>
      </x:c>
      <x:c r="H4" s="29"/>
      <x:c r="I4" s="29"/>
      <x:c r="J4" s="27" t="str">
        <x:v>pending</x:v>
      </x:c>
      <x:c r="K4" s="27" t="str"/>
      <x:c r="L4" s="27" t="str">
        <x:v>失败识别也需计时</x:v>
      </x:c>
    </x:row>
  </x:sheetData>
  <x:dataValidations count="2">
    <x:dataValidation type="list" sqref="J2:J4">
      <x:formula1>"pending,completed,failed"</x:formula1>
    </x:dataValidation>
    <x:dataValidation type="list" sqref="B2:B4">
      <x:formula1>"capacity_reroute,forbidden_reroute,no_path"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8" hidden="0" customWidth="1"/>
    <x:col min="9" max="9" width="38" hidden="0" customWidth="1"/>
  </x:cols>
  <x:sheetData>
    <x:row r="1">
      <x:c r="A1" s="26" t="str">
        <x:v>run_id</x:v>
      </x:c>
      <x:c r="B1" s="26" t="str">
        <x:v>scenario_id</x:v>
      </x:c>
      <x:c r="C1" s="26" t="str">
        <x:v>iteration</x:v>
      </x:c>
      <x:c r="D1" s="26" t="str">
        <x:v>status</x:v>
      </x:c>
      <x:c r="E1" s="26" t="str">
        <x:v>expected_status</x:v>
      </x:c>
      <x:c r="F1" s="26" t="str">
        <x:v>elapsed_seconds</x:v>
      </x:c>
      <x:c r="G1" s="26" t="str">
        <x:v>event_count</x:v>
      </x:c>
      <x:c r="H1" s="26" t="str">
        <x:v>parameter_fingerprint</x:v>
      </x:c>
      <x:c r="I1" s="26" t="str">
        <x:v>evidence_ref</x:v>
      </x:c>
    </x:row>
    <x:row r="2">
      <x:c r="A2" s="27" t="str">
        <x:v>SYS-capacity_reroute-01</x:v>
      </x:c>
      <x:c r="B2" s="27" t="str">
        <x:v>capacity_reroute</x:v>
      </x:c>
      <x:c r="C2" s="27" t="n">
        <x:v>1</x:v>
      </x:c>
      <x:c r="D2" s="27" t="str">
        <x:v>completed</x:v>
      </x:c>
      <x:c r="E2" s="27" t="str">
        <x:v>completed</x:v>
      </x:c>
      <x:c r="F2" s="31" t="n">
        <x:v>0.006905</x:v>
      </x:c>
      <x:c r="G2" s="27" t="n">
        <x:v>9</x:v>
      </x:c>
      <x:c r="H2" s="27" t="str">
        <x:v>1d158b578f362c219eb7d99e8fe8d2e02c547251683db858b6c9975c3184cf19</x:v>
      </x:c>
      <x:c r="I2" s="27" t="str">
        <x:v>outputs/competition/capacity_reroute/events.jsonl</x:v>
      </x:c>
    </x:row>
    <x:row r="3">
      <x:c r="A3" s="27" t="str">
        <x:v>SYS-capacity_reroute-02</x:v>
      </x:c>
      <x:c r="B3" s="27" t="str">
        <x:v>capacity_reroute</x:v>
      </x:c>
      <x:c r="C3" s="27" t="n">
        <x:v>2</x:v>
      </x:c>
      <x:c r="D3" s="27" t="str">
        <x:v>completed</x:v>
      </x:c>
      <x:c r="E3" s="27" t="str">
        <x:v>completed</x:v>
      </x:c>
      <x:c r="F3" s="31" t="n">
        <x:v>0.006055</x:v>
      </x:c>
      <x:c r="G3" s="27" t="n">
        <x:v>9</x:v>
      </x:c>
      <x:c r="H3" s="27" t="str">
        <x:v>1d158b578f362c219eb7d99e8fe8d2e02c547251683db858b6c9975c3184cf19</x:v>
      </x:c>
      <x:c r="I3" s="27" t="str">
        <x:v>outputs/competition/capacity_reroute/events.jsonl</x:v>
      </x:c>
    </x:row>
    <x:row r="4">
      <x:c r="A4" s="27" t="str">
        <x:v>SYS-capacity_reroute-03</x:v>
      </x:c>
      <x:c r="B4" s="27" t="str">
        <x:v>capacity_reroute</x:v>
      </x:c>
      <x:c r="C4" s="27" t="n">
        <x:v>3</x:v>
      </x:c>
      <x:c r="D4" s="27" t="str">
        <x:v>completed</x:v>
      </x:c>
      <x:c r="E4" s="27" t="str">
        <x:v>completed</x:v>
      </x:c>
      <x:c r="F4" s="31" t="n">
        <x:v>0.006643</x:v>
      </x:c>
      <x:c r="G4" s="27" t="n">
        <x:v>9</x:v>
      </x:c>
      <x:c r="H4" s="27" t="str">
        <x:v>1d158b578f362c219eb7d99e8fe8d2e02c547251683db858b6c9975c3184cf19</x:v>
      </x:c>
      <x:c r="I4" s="27" t="str">
        <x:v>outputs/competition/capacity_reroute/events.jsonl</x:v>
      </x:c>
    </x:row>
    <x:row r="5">
      <x:c r="A5" s="27" t="str">
        <x:v>SYS-forbidden_reroute-01</x:v>
      </x:c>
      <x:c r="B5" s="27" t="str">
        <x:v>forbidden_reroute</x:v>
      </x:c>
      <x:c r="C5" s="27" t="n">
        <x:v>1</x:v>
      </x:c>
      <x:c r="D5" s="27" t="str">
        <x:v>completed</x:v>
      </x:c>
      <x:c r="E5" s="27" t="str">
        <x:v>completed</x:v>
      </x:c>
      <x:c r="F5" s="31" t="n">
        <x:v>0.007548</x:v>
      </x:c>
      <x:c r="G5" s="27" t="n">
        <x:v>9</x:v>
      </x:c>
      <x:c r="H5" s="27" t="str">
        <x:v>f9e73c6095c8b037255d50da323d3c6b2195f82b42b87c9733425b9a5f536c76</x:v>
      </x:c>
      <x:c r="I5" s="27" t="str">
        <x:v>outputs/competition/forbidden_reroute/events.jsonl</x:v>
      </x:c>
    </x:row>
    <x:row r="6">
      <x:c r="A6" s="27" t="str">
        <x:v>SYS-forbidden_reroute-02</x:v>
      </x:c>
      <x:c r="B6" s="27" t="str">
        <x:v>forbidden_reroute</x:v>
      </x:c>
      <x:c r="C6" s="27" t="n">
        <x:v>2</x:v>
      </x:c>
      <x:c r="D6" s="27" t="str">
        <x:v>completed</x:v>
      </x:c>
      <x:c r="E6" s="27" t="str">
        <x:v>completed</x:v>
      </x:c>
      <x:c r="F6" s="31" t="n">
        <x:v>0.005854</x:v>
      </x:c>
      <x:c r="G6" s="27" t="n">
        <x:v>9</x:v>
      </x:c>
      <x:c r="H6" s="27" t="str">
        <x:v>f9e73c6095c8b037255d50da323d3c6b2195f82b42b87c9733425b9a5f536c76</x:v>
      </x:c>
      <x:c r="I6" s="27" t="str">
        <x:v>outputs/competition/forbidden_reroute/events.jsonl</x:v>
      </x:c>
    </x:row>
    <x:row r="7">
      <x:c r="A7" s="27" t="str">
        <x:v>SYS-forbidden_reroute-03</x:v>
      </x:c>
      <x:c r="B7" s="27" t="str">
        <x:v>forbidden_reroute</x:v>
      </x:c>
      <x:c r="C7" s="27" t="n">
        <x:v>3</x:v>
      </x:c>
      <x:c r="D7" s="27" t="str">
        <x:v>completed</x:v>
      </x:c>
      <x:c r="E7" s="27" t="str">
        <x:v>completed</x:v>
      </x:c>
      <x:c r="F7" s="31" t="n">
        <x:v>0.007633</x:v>
      </x:c>
      <x:c r="G7" s="27" t="n">
        <x:v>9</x:v>
      </x:c>
      <x:c r="H7" s="27" t="str">
        <x:v>f9e73c6095c8b037255d50da323d3c6b2195f82b42b87c9733425b9a5f536c76</x:v>
      </x:c>
      <x:c r="I7" s="27" t="str">
        <x:v>outputs/competition/forbidden_reroute/events.jsonl</x:v>
      </x:c>
    </x:row>
    <x:row r="8">
      <x:c r="A8" s="27" t="str">
        <x:v>SYS-no_path-01</x:v>
      </x:c>
      <x:c r="B8" s="27" t="str">
        <x:v>no_path</x:v>
      </x:c>
      <x:c r="C8" s="27" t="n">
        <x:v>1</x:v>
      </x:c>
      <x:c r="D8" s="27" t="str">
        <x:v>failed</x:v>
      </x:c>
      <x:c r="E8" s="27" t="str">
        <x:v>failed</x:v>
      </x:c>
      <x:c r="F8" s="31" t="n">
        <x:v>0.006105</x:v>
      </x:c>
      <x:c r="G8" s="27" t="n">
        <x:v>6</x:v>
      </x:c>
      <x:c r="H8" s="27" t="str">
        <x:v>8edf9b1c74a9e3a20333964dddeb31b1a2bc05beeffc733cc21604b1187f07c1</x:v>
      </x:c>
      <x:c r="I8" s="27" t="str">
        <x:v>outputs/competition/no_path/events.jsonl</x:v>
      </x:c>
    </x:row>
    <x:row r="9">
      <x:c r="A9" s="27" t="str">
        <x:v>SYS-no_path-02</x:v>
      </x:c>
      <x:c r="B9" s="27" t="str">
        <x:v>no_path</x:v>
      </x:c>
      <x:c r="C9" s="27" t="n">
        <x:v>2</x:v>
      </x:c>
      <x:c r="D9" s="27" t="str">
        <x:v>failed</x:v>
      </x:c>
      <x:c r="E9" s="27" t="str">
        <x:v>failed</x:v>
      </x:c>
      <x:c r="F9" s="31" t="n">
        <x:v>0.00625</x:v>
      </x:c>
      <x:c r="G9" s="27" t="n">
        <x:v>6</x:v>
      </x:c>
      <x:c r="H9" s="27" t="str">
        <x:v>8edf9b1c74a9e3a20333964dddeb31b1a2bc05beeffc733cc21604b1187f07c1</x:v>
      </x:c>
      <x:c r="I9" s="27" t="str">
        <x:v>outputs/competition/no_path/events.jsonl</x:v>
      </x:c>
    </x:row>
    <x:row r="10">
      <x:c r="A10" s="27" t="str">
        <x:v>SYS-no_path-03</x:v>
      </x:c>
      <x:c r="B10" s="27" t="str">
        <x:v>no_path</x:v>
      </x:c>
      <x:c r="C10" s="27" t="n">
        <x:v>3</x:v>
      </x:c>
      <x:c r="D10" s="27" t="str">
        <x:v>failed</x:v>
      </x:c>
      <x:c r="E10" s="27" t="str">
        <x:v>failed</x:v>
      </x:c>
      <x:c r="F10" s="31" t="n">
        <x:v>0.006529</x:v>
      </x:c>
      <x:c r="G10" s="27" t="n">
        <x:v>6</x:v>
      </x:c>
      <x:c r="H10" s="27" t="str">
        <x:v>8edf9b1c74a9e3a20333964dddeb31b1a2bc05beeffc733cc21604b1187f07c1</x:v>
      </x:c>
      <x:c r="I10" s="27" t="str">
        <x:v>outputs/competition/no_path/events.jsonl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6" t="str">
        <x:v>场景</x:v>
      </x:c>
      <x:c r="B1" s="26" t="str">
        <x:v>人工中位秒数</x:v>
      </x:c>
      <x:c r="C1" s="26" t="str">
        <x:v>系统中位秒数</x:v>
      </x:c>
      <x:c r="D1" s="26" t="str">
        <x:v>效率提升</x:v>
      </x:c>
      <x:c r="E1" s="26" t="str">
        <x:v>人工操作数</x:v>
      </x:c>
      <x:c r="F1" s="26" t="str">
        <x:v>插件观察操作数</x:v>
      </x:c>
      <x:c r="G1" s="26" t="str">
        <x:v>操作减少</x:v>
      </x:c>
      <x:c r="H1" s="26" t="str">
        <x:v>门槛判定</x:v>
      </x:c>
    </x:row>
    <x:row r="2">
      <x:c r="A2" s="27" t="str">
        <x:v>capacity_reroute</x:v>
      </x:c>
      <x:c r="B2" s="31" t="str">
        <x:f>IF(ManualRaw!K2="","",ManualRaw!G2)</x:f>
      </x:c>
      <x:c r="C2" s="31" t="n">
        <x:f>MEDIAN(SystemRuns!F2:F4)</x:f>
        <x:v>0.006643</x:v>
      </x:c>
      <x:c r="D2" s="33" t="str">
        <x:f>IF(B2="","",(B2-C2)/B2)</x:f>
      </x:c>
      <x:c r="E2" s="27" t="str">
        <x:f>IF(ManualRaw!K2="","",ManualRaw!H2)</x:f>
      </x:c>
      <x:c r="F2" s="27" t="str">
        <x:f>IF(ManualRaw!K2="","",ManualRaw!I2)</x:f>
      </x:c>
      <x:c r="G2" s="33" t="str">
        <x:f>IF(OR(E2="",F2=""),"",(E2-F2)/E2)</x:f>
      </x:c>
      <x:c r="H2" s="27" t="str">
        <x:f>IF(B2="","待人工基线",IF(OR(D2&gt;=30%,G2&gt;50%),"达标","未达标"))</x:f>
        <x:v>待人工基线</x:v>
      </x:c>
    </x:row>
    <x:row r="3">
      <x:c r="A3" s="27" t="str">
        <x:v>forbidden_reroute</x:v>
      </x:c>
      <x:c r="B3" s="31" t="str">
        <x:f>IF(ManualRaw!K3="","",ManualRaw!G3)</x:f>
      </x:c>
      <x:c r="C3" s="31" t="n">
        <x:f>MEDIAN(SystemRuns!F5:F7)</x:f>
        <x:v>0.007548</x:v>
      </x:c>
      <x:c r="D3" s="33" t="str">
        <x:f>IF(B3="","",(B3-C3)/B3)</x:f>
      </x:c>
      <x:c r="E3" s="27" t="str">
        <x:f>IF(ManualRaw!K3="","",ManualRaw!H3)</x:f>
      </x:c>
      <x:c r="F3" s="27" t="str">
        <x:f>IF(ManualRaw!K3="","",ManualRaw!I3)</x:f>
      </x:c>
      <x:c r="G3" s="33" t="str">
        <x:f>IF(OR(E3="",F3=""),"",(E3-F3)/E3)</x:f>
      </x:c>
      <x:c r="H3" s="27" t="str">
        <x:f>IF(B3="","待人工基线",IF(OR(D3&gt;=30%,G3&gt;50%),"达标","未达标"))</x:f>
        <x:v>待人工基线</x:v>
      </x:c>
    </x:row>
    <x:row r="4">
      <x:c r="A4" s="27" t="str">
        <x:v>no_path</x:v>
      </x:c>
      <x:c r="B4" s="31" t="str">
        <x:f>IF(ManualRaw!K4="","",ManualRaw!G4)</x:f>
      </x:c>
      <x:c r="C4" s="31" t="n">
        <x:f>MEDIAN(SystemRuns!F8:F10)</x:f>
        <x:v>0.00625</x:v>
      </x:c>
      <x:c r="D4" s="33" t="str">
        <x:f>IF(B4="","",(B4-C4)/B4)</x:f>
      </x:c>
      <x:c r="E4" s="27" t="str">
        <x:f>IF(ManualRaw!K4="","",ManualRaw!H4)</x:f>
      </x:c>
      <x:c r="F4" s="27" t="str">
        <x:f>IF(ManualRaw!K4="","",ManualRaw!I4)</x:f>
      </x:c>
      <x:c r="G4" s="33" t="str">
        <x:f>IF(OR(E4="",F4=""),"",(E4-F4)/E4)</x:f>
      </x:c>
      <x:c r="H4" s="27" t="str">
        <x:f>IF(B4="","待人工基线",IF(OR(D4&gt;=30%,G4&gt;50%),"达标","未达标"))</x:f>
        <x:v>待人工基线</x:v>
      </x:c>
    </x:row>
    <x:row r="5">
      <x:c r="A5" s="16"/>
      <x:c r="B5" s="16"/>
      <x:c r="C5" s="16"/>
      <x:c r="D5" s="16"/>
      <x:c r="E5" s="16"/>
      <x:c r="F5" s="16"/>
      <x:c r="G5" s="16"/>
      <x:c r="H5" s="16"/>
    </x:row>
    <x:row r="6">
      <x:c r="A6" s="20" t="str">
        <x:v>公式说明</x:v>
      </x:c>
      <x:c r="B6" s="20" t="str"/>
      <x:c r="C6" s="20" t="str"/>
      <x:c r="D6" s="20" t="str"/>
      <x:c r="E6" s="20" t="str"/>
      <x:c r="F6" s="20" t="str"/>
      <x:c r="G6" s="20" t="str"/>
      <x:c r="H6" s="20" t="str"/>
    </x:row>
    <x:row r="7">
      <x:c r="A7" s="21" t="str">
        <x:v>效率提升</x:v>
      </x:c>
      <x:c r="B7" s="21" t="str">
        <x:v>(人工中位秒数 - 系统中位秒数) / 人工中位秒数</x:v>
      </x:c>
      <x:c r="C7" s="21" t="str"/>
      <x:c r="D7" s="21" t="str"/>
      <x:c r="E7" s="21" t="str"/>
      <x:c r="F7" s="21" t="str"/>
      <x:c r="G7" s="21" t="str"/>
      <x:c r="H7" s="21" t="str"/>
    </x:row>
    <x:row r="8">
      <x:c r="A8" s="21" t="str">
        <x:v>操作减少</x:v>
      </x:c>
      <x:c r="B8" s="21" t="str">
        <x:v>(人工操作数 - 插件观察操作数) / 人工操作数</x:v>
      </x:c>
      <x:c r="C8" s="21" t="str"/>
      <x:c r="D8" s="21" t="str"/>
      <x:c r="E8" s="21" t="str"/>
      <x:c r="F8" s="21" t="str"/>
      <x:c r="G8" s="21" t="str"/>
      <x:c r="H8" s="21" t="str"/>
    </x:row>
    <x:row r="9">
      <x:c r="A9" s="21" t="str">
        <x:v>判定</x:v>
      </x:c>
      <x:c r="B9" s="21" t="str">
        <x:v>效率提升 &gt;=30% 或操作减少 &gt;50%；人工证据为空时只能待基线</x:v>
      </x:c>
      <x:c r="C9" s="21" t="str"/>
      <x:c r="D9" s="21" t="str"/>
      <x:c r="E9" s="21" t="str"/>
      <x:c r="F9" s="21" t="str"/>
      <x:c r="G9" s="21" t="str"/>
      <x:c r="H9" s="21" t="str"/>
    </x:row>
  </x:sheetData>
  <x:conditionalFormatting sqref="H2:H4">
    <x:cfRule type="containsText" dxfId="0" priority="1" operator="containsText" text="待人工基线"/>
    <x:cfRule type="containsText" dxfId="1" priority="2" operator="containsText" text="达标"/>
  </x:conditionalFormatting>
  <x:pageMargins left="0.7" right="0.7" top="0.75" bottom="0.75" header="0.3" footer="0.3"/>
</x:worksheet>
</file>